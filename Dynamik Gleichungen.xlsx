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ca81b8c2ce44a/Documents/Ströhme/Shared Files/"/>
    </mc:Choice>
  </mc:AlternateContent>
  <xr:revisionPtr revIDLastSave="1063" documentId="10_ncr:40000_{B5678D44-A3F7-47C1-8CED-E55CFB07ADD0}" xr6:coauthVersionLast="47" xr6:coauthVersionMax="47" xr10:uidLastSave="{8251F714-9B0E-46E3-ACE3-66965ED5AAEB}"/>
  <bookViews>
    <workbookView xWindow="-110" yWindow="-110" windowWidth="25820" windowHeight="15500" firstSheet="1" activeTab="1" xr2:uid="{00000000-000D-0000-FFFF-FFFF00000000}"/>
  </bookViews>
  <sheets>
    <sheet name="CoG" sheetId="1" r:id="rId1"/>
    <sheet name="Sheet2" sheetId="2" r:id="rId2"/>
  </sheets>
  <calcPr calcId="191028" iterate="1" iterateCount="999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 a="1"/>
  <c r="D36" i="2" s="1"/>
  <c r="I31" i="2"/>
  <c r="G22" i="2"/>
  <c r="E30" i="2"/>
  <c r="D30" i="2"/>
  <c r="C30" i="2"/>
  <c r="B30" i="2"/>
  <c r="B29" i="2"/>
  <c r="D29" i="2"/>
  <c r="C29" i="2"/>
  <c r="E29" i="2"/>
  <c r="E28" i="2"/>
  <c r="D28" i="2"/>
  <c r="C28" i="2"/>
  <c r="B28" i="2"/>
  <c r="F51" i="1"/>
  <c r="E31" i="1"/>
  <c r="E40" i="1" s="1"/>
  <c r="E30" i="1"/>
  <c r="E41" i="1" s="1"/>
  <c r="F54" i="1" s="1"/>
  <c r="F5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<sst xmlns="http://schemas.openxmlformats.org/spreadsheetml/2006/main" count="72" uniqueCount="53">
  <si>
    <t>Mass Height center determination (Vertical mass centre height)</t>
  </si>
  <si>
    <t>(oder)</t>
  </si>
  <si>
    <t>Given:</t>
  </si>
  <si>
    <t>Total Weight "m" (Kg)</t>
  </si>
  <si>
    <t>Radius of tire "R" (m)</t>
  </si>
  <si>
    <t>Wheel base length "l" (m)</t>
  </si>
  <si>
    <t>Finding weight forces on each axles seperately:</t>
  </si>
  <si>
    <t>Mass in front axle (kg)</t>
  </si>
  <si>
    <t>(Determined by weight machine manually)</t>
  </si>
  <si>
    <t>Mass in rear axle (kg)</t>
  </si>
  <si>
    <t>Weight force in front axle "2Fz1" (N)</t>
  </si>
  <si>
    <t>Weight force in rear axle "2Fz2" (N)</t>
  </si>
  <si>
    <t>Determining Horizontal mass centre:</t>
  </si>
  <si>
    <t>and</t>
  </si>
  <si>
    <t>Length from centre to Front axle "a1" (m)</t>
  </si>
  <si>
    <t>Length from centre to Rear axle "a2" (m)</t>
  </si>
  <si>
    <t>Determining Vertical Mass centre:</t>
  </si>
  <si>
    <t>or</t>
  </si>
  <si>
    <t>Height of front axle to the ground "h" (m)</t>
  </si>
  <si>
    <t>(Determined manually with Measuring Tape)</t>
  </si>
  <si>
    <r>
      <t>Angle of Inclined car to the ground "</t>
    </r>
    <r>
      <rPr>
        <sz val="11"/>
        <color theme="1"/>
        <rFont val="Calibri"/>
        <family val="2"/>
      </rPr>
      <t>ө</t>
    </r>
    <r>
      <rPr>
        <sz val="11"/>
        <color theme="1"/>
        <rFont val="Calibri"/>
        <family val="2"/>
        <scheme val="minor"/>
      </rPr>
      <t>" (in degrees)</t>
    </r>
  </si>
  <si>
    <t>Vertical Height of Mass centre "H" (m)</t>
  </si>
  <si>
    <t>(Calculated using first formula)</t>
  </si>
  <si>
    <t>(Calculated using second formula)</t>
  </si>
  <si>
    <t>Reaction force of accelerating car</t>
  </si>
  <si>
    <t>(b2-h)μx</t>
  </si>
  <si>
    <t>(b1-h)μx</t>
  </si>
  <si>
    <t>(h-a2)μy</t>
  </si>
  <si>
    <t>(h-a1)μy</t>
  </si>
  <si>
    <t>(h-b2)μy</t>
  </si>
  <si>
    <t>=</t>
  </si>
  <si>
    <t>a2-b2</t>
  </si>
  <si>
    <t>a1-b1</t>
  </si>
  <si>
    <t>ma</t>
  </si>
  <si>
    <t>Horizontal Length from centre to right "b1" (m)</t>
  </si>
  <si>
    <t>Horizontal Length from centre to left "b2" (m)</t>
  </si>
  <si>
    <t xml:space="preserve">Mass Height centre "h" (m) </t>
  </si>
  <si>
    <t>Mass of the car "m" (kg)</t>
  </si>
  <si>
    <t>(Including the person weight)</t>
  </si>
  <si>
    <t>Longitudinal Friction coefficient "μx"</t>
  </si>
  <si>
    <t>acceleration due to gravity "g" (m/s2)</t>
  </si>
  <si>
    <t>Lateral Friction coefficient "μy"</t>
  </si>
  <si>
    <t>acceleration of the vehicle "a" (m/s2)</t>
  </si>
  <si>
    <t>Centripetal acceleration "az" (m/s2)</t>
  </si>
  <si>
    <t>a</t>
  </si>
  <si>
    <t>b</t>
  </si>
  <si>
    <t>c</t>
  </si>
  <si>
    <t>d</t>
  </si>
  <si>
    <t>System of equations:</t>
  </si>
  <si>
    <t>Equation 1</t>
  </si>
  <si>
    <t>Equation 2</t>
  </si>
  <si>
    <t>Equation 3</t>
  </si>
  <si>
    <t>Equation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</si>
</sst>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"/>
    <numFmt numFmtId="166" formatCode="#,##0.000"/>
  </numFmts>
  <fonts count="6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111111"/>
      <name val="Helvetica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2" fontId="0" fillId="0" borderId="0" xfId="0" applyNumberFormat="1"/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3" xfId="0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452999</xdr:colOff>
      <xdr:row>3</xdr:row>
      <xdr:rowOff>129780</xdr:rowOff>
    </xdr:from>
    <xdr:ext cx="1911716" cy="3861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06CC4-F491-ECBA-80E8-0EF460C4CAD9}"/>
                </a:ext>
              </a:extLst>
            </xdr:cNvPr>
            <xdr:cNvSpPr txBox="1"/>
          </xdr:nvSpPr>
          <xdr:spPr>
            <a:xfrm>
              <a:off x="452999" y="830926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14:m>
                <m:oMath xmlns:m="http://schemas.openxmlformats.org/officeDocument/2006/math">
                  <m:r>
                    <a:rPr lang="en-IN" sz="1100" i="1">
                      <a:latin typeface="Cambria Math" panose="02040503050406030204" pitchFamily="18" charset="0"/>
                    </a:rPr>
                    <m:t>=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e>
                            <m:sup/>
                          </m:sSup>
                        </m:sub>
                      </m:sSub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𝑧</m:t>
                              </m:r>
                            </m:e>
                            <m:sup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p>
                          </m:sSup>
                        </m:sub>
                      </m:sSub>
                      <m:r>
                        <a:rPr lang="de-DE" sz="1100" b="0" i="1">
                          <a:latin typeface="Cambria Math" panose="02040503050406030204" pitchFamily="18" charset="0"/>
                        </a:rPr>
                        <m:t>)−</m:t>
                      </m:r>
                      <m:sSub>
                        <m:sSubPr>
                          <m:ctrlP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e>
                            <m:sup/>
                          </m:sSup>
                        </m:sub>
                      </m:sSub>
                      <m:sSub>
                        <m:sSubPr>
                          <m:ctrlP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𝐹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𝑧</m:t>
                              </m:r>
                            </m:e>
                            <m:sup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sub>
                      </m:sSub>
                      <m:r>
                        <a:rPr lang="de-DE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a:rPr lang="de-DE" sz="1100" b="0" i="1">
                          <a:latin typeface="Cambria Math" panose="02040503050406030204" pitchFamily="18" charset="0"/>
                        </a:rPr>
                        <m:t>0.5 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𝑚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𝑔</m:t>
                      </m:r>
                    </m:den>
                  </m:f>
                  <m:func>
                    <m:func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IN" sz="1100" i="0">
                          <a:latin typeface="Cambria Math" panose="02040503050406030204" pitchFamily="18" charset="0"/>
                        </a:rPr>
                        <m:t>cot</m:t>
                      </m:r>
                    </m:fName>
                    <m:e>
                      <m:r>
                        <a:rPr lang="en-IN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e>
                  </m:func>
                </m:oMath>
              </a14:m>
              <a:endParaRPr lang="LID4096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06CC4-F491-ECBA-80E8-0EF460C4CAD9}"/>
                </a:ext>
              </a:extLst>
            </xdr:cNvPr>
            <xdr:cNvSpPr txBox="1"/>
          </xdr:nvSpPr>
          <xdr:spPr>
            <a:xfrm>
              <a:off x="452999" y="830926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𝑅−</a:t>
              </a:r>
              <a:r>
                <a:rPr lang="en-IN" sz="1100" i="0">
                  <a:latin typeface="Cambria Math" panose="02040503050406030204" pitchFamily="18" charset="0"/>
                </a:rPr>
                <a:t>(</a:t>
              </a:r>
              <a:r>
                <a:rPr lang="de-DE" sz="1100" b="0" i="0">
                  <a:latin typeface="Cambria Math" panose="02040503050406030204" pitchFamily="18" charset="0"/>
                </a:rPr>
                <a:t>〖(𝑎〗_(1^ ) 𝐹_(𝑧^1 ))−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〖(𝑎〗_(2^ ) 𝐹_(𝑧^2 ))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de-DE" sz="1100" b="0" i="0">
                  <a:latin typeface="Cambria Math" panose="02040503050406030204" pitchFamily="18" charset="0"/>
                </a:rPr>
                <a:t>0.5 𝑚 𝑔</a:t>
              </a:r>
              <a:r>
                <a:rPr lang="en-IN" sz="1100" b="0" i="0">
                  <a:latin typeface="Cambria Math" panose="02040503050406030204" pitchFamily="18" charset="0"/>
                </a:rPr>
                <a:t>) </a:t>
              </a:r>
              <a:r>
                <a:rPr lang="en-IN" sz="1100" i="0">
                  <a:latin typeface="Cambria Math" panose="02040503050406030204" pitchFamily="18" charset="0"/>
                </a:rPr>
                <a:t> cot⁡</a:t>
              </a:r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5</xdr:col>
      <xdr:colOff>213544</xdr:colOff>
      <xdr:row>3</xdr:row>
      <xdr:rowOff>136702</xdr:rowOff>
    </xdr:from>
    <xdr:ext cx="1911716" cy="3861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4569C40-4C97-474F-AE4F-A30C7ADDBFCC}"/>
                </a:ext>
              </a:extLst>
            </xdr:cNvPr>
            <xdr:cNvSpPr txBox="1"/>
          </xdr:nvSpPr>
          <xdr:spPr>
            <a:xfrm>
              <a:off x="3256252" y="837848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14:m>
                <m:oMath xmlns:m="http://schemas.openxmlformats.org/officeDocument/2006/math">
                  <m:r>
                    <a:rPr lang="en-IN" sz="1100" i="1">
                      <a:latin typeface="Cambria Math" panose="02040503050406030204" pitchFamily="18" charset="0"/>
                    </a:rPr>
                    <m:t>=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de-DE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e>
                            <m:sup/>
                          </m:sSup>
                        </m:sub>
                      </m:sSub>
                      <m:r>
                        <a:rPr lang="de-DE" sz="1100" b="0" i="1">
                          <a:latin typeface="Cambria Math" panose="02040503050406030204" pitchFamily="18" charset="0"/>
                        </a:rPr>
                        <m:t>− </m:t>
                      </m:r>
                      <m:f>
                        <m:fPr>
                          <m:ctrlPr>
                            <a:rPr lang="en-IN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2  </m:t>
                          </m:r>
                          <m:sSub>
                            <m:sSub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𝐹</m:t>
                              </m:r>
                            </m:e>
                            <m:sub>
                              <m:sSup>
                                <m:sSupPr>
                                  <m:ctrlP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</m:t>
                                  </m:r>
                                </m:e>
                                <m:sup>
                                  <m: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sup>
                              </m:sSup>
                            </m:sub>
                          </m:sSub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𝑙</m:t>
                          </m:r>
                        </m:num>
                        <m:den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𝑚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𝑔</m:t>
                          </m:r>
                        </m:den>
                      </m:f>
                    </m:e>
                  </m:d>
                  <m:func>
                    <m:func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IN" sz="1100" i="0">
                          <a:latin typeface="Cambria Math" panose="02040503050406030204" pitchFamily="18" charset="0"/>
                        </a:rPr>
                        <m:t>cot</m:t>
                      </m:r>
                    </m:fName>
                    <m:e>
                      <m:r>
                        <a:rPr lang="en-IN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e>
                  </m:func>
                </m:oMath>
              </a14:m>
              <a:endParaRPr lang="LID4096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4569C40-4C97-474F-AE4F-A30C7ADDBFCC}"/>
                </a:ext>
              </a:extLst>
            </xdr:cNvPr>
            <xdr:cNvSpPr txBox="1"/>
          </xdr:nvSpPr>
          <xdr:spPr>
            <a:xfrm>
              <a:off x="3256252" y="837848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𝑅+[𝑎_(2^ )− 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𝐹_(𝑧^1 )  𝑙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𝑚 𝑔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i="0">
                  <a:latin typeface="Cambria Math" panose="02040503050406030204" pitchFamily="18" charset="0"/>
                </a:rPr>
                <a:t> cot⁡</a:t>
              </a:r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LID4096" sz="11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7</xdr:row>
      <xdr:rowOff>0</xdr:rowOff>
    </xdr:from>
    <xdr:to>
      <xdr:col>6</xdr:col>
      <xdr:colOff>219042</xdr:colOff>
      <xdr:row>16</xdr:row>
      <xdr:rowOff>72052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BA22CF-15AA-AB30-625B-F9936BE4C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68" y="1448110"/>
          <a:ext cx="3980366" cy="1744735"/>
        </a:xfrm>
        <a:prstGeom prst="rect">
          <a:avLst/>
        </a:prstGeom>
      </xdr:spPr>
    </xdr:pic>
    <xdr:clientData/>
  </xdr:twoCellAnchor>
  <xdr:oneCellAnchor>
    <xdr:from>
      <xdr:col>1</xdr:col>
      <xdr:colOff>206545</xdr:colOff>
      <xdr:row>34</xdr:row>
      <xdr:rowOff>148288</xdr:rowOff>
    </xdr:from>
    <xdr:ext cx="866455" cy="3510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75F986-11F7-7B86-9E2D-2ACE8D3E837B}"/>
                </a:ext>
              </a:extLst>
            </xdr:cNvPr>
            <xdr:cNvSpPr txBox="1"/>
          </xdr:nvSpPr>
          <xdr:spPr>
            <a:xfrm>
              <a:off x="817122" y="6575628"/>
              <a:ext cx="866455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sSup>
                          <m:sSupPr>
                            <m:ctrlPr>
                              <a:rPr lang="de-DE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  <m:sup/>
                        </m:sSup>
                      </m:sub>
                    </m:sSub>
                    <m:r>
                      <a:rPr lang="en-I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num>
                      <m:den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den>
                    </m:f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275F986-11F7-7B86-9E2D-2ACE8D3E837B}"/>
                </a:ext>
              </a:extLst>
            </xdr:cNvPr>
            <xdr:cNvSpPr txBox="1"/>
          </xdr:nvSpPr>
          <xdr:spPr>
            <a:xfrm>
              <a:off x="817122" y="6575628"/>
              <a:ext cx="866455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 )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2𝑙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de-DE" sz="1100" b="0" i="0">
                  <a:latin typeface="Cambria Math" panose="02040503050406030204" pitchFamily="18" charset="0"/>
                </a:rPr>
                <a:t>𝑚𝑔 𝐹_(𝑧^2 )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3</xdr:col>
      <xdr:colOff>395579</xdr:colOff>
      <xdr:row>34</xdr:row>
      <xdr:rowOff>137868</xdr:rowOff>
    </xdr:from>
    <xdr:ext cx="906209" cy="3510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445EC0-02B6-45CE-AE1C-A41FB6017F16}"/>
                </a:ext>
              </a:extLst>
            </xdr:cNvPr>
            <xdr:cNvSpPr txBox="1"/>
          </xdr:nvSpPr>
          <xdr:spPr>
            <a:xfrm>
              <a:off x="2931508" y="6565208"/>
              <a:ext cx="906209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sSup>
                          <m:sSupPr>
                            <m:ctrlPr>
                              <a:rPr lang="de-DE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  <m:sup/>
                        </m:sSup>
                      </m:sub>
                    </m:sSub>
                    <m:r>
                      <a:rPr lang="en-I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num>
                      <m:den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den>
                    </m:f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445EC0-02B6-45CE-AE1C-A41FB6017F16}"/>
                </a:ext>
              </a:extLst>
            </xdr:cNvPr>
            <xdr:cNvSpPr txBox="1"/>
          </xdr:nvSpPr>
          <xdr:spPr>
            <a:xfrm>
              <a:off x="2931508" y="6565208"/>
              <a:ext cx="906209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 )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2𝑙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de-DE" sz="1100" b="0" i="0">
                  <a:latin typeface="Cambria Math" panose="02040503050406030204" pitchFamily="18" charset="0"/>
                </a:rPr>
                <a:t>𝑚𝑔 𝐹_(𝑧^1 )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0</xdr:col>
      <xdr:colOff>591397</xdr:colOff>
      <xdr:row>45</xdr:row>
      <xdr:rowOff>94164</xdr:rowOff>
    </xdr:from>
    <xdr:ext cx="1911716" cy="3861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95F5AF7-77DF-42F7-A864-BE2C85D48841}"/>
                </a:ext>
              </a:extLst>
            </xdr:cNvPr>
            <xdr:cNvSpPr txBox="1"/>
          </xdr:nvSpPr>
          <xdr:spPr>
            <a:xfrm>
              <a:off x="591397" y="8589324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14:m>
                <m:oMath xmlns:m="http://schemas.openxmlformats.org/officeDocument/2006/math">
                  <m:r>
                    <a:rPr lang="en-IN" sz="1100" i="1">
                      <a:latin typeface="Cambria Math" panose="02040503050406030204" pitchFamily="18" charset="0"/>
                    </a:rPr>
                    <m:t>=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e>
                            <m:sup/>
                          </m:sSup>
                        </m:sub>
                      </m:sSub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𝐹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𝑧</m:t>
                              </m:r>
                            </m:e>
                            <m:sup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p>
                          </m:sSup>
                        </m:sub>
                      </m:sSub>
                      <m:r>
                        <a:rPr lang="de-DE" sz="1100" b="0" i="1">
                          <a:latin typeface="Cambria Math" panose="02040503050406030204" pitchFamily="18" charset="0"/>
                        </a:rPr>
                        <m:t>)−</m:t>
                      </m:r>
                      <m:sSub>
                        <m:sSubPr>
                          <m:ctrlP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e>
                            <m:sup/>
                          </m:sSup>
                        </m:sub>
                      </m:sSub>
                      <m:sSub>
                        <m:sSubPr>
                          <m:ctrlP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𝐹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𝑧</m:t>
                              </m:r>
                            </m:e>
                            <m:sup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sub>
                      </m:sSub>
                      <m:r>
                        <a:rPr lang="de-DE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a:rPr lang="de-DE" sz="1100" b="0" i="1">
                          <a:latin typeface="Cambria Math" panose="02040503050406030204" pitchFamily="18" charset="0"/>
                        </a:rPr>
                        <m:t>0.5 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𝑚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𝑔</m:t>
                      </m:r>
                    </m:den>
                  </m:f>
                  <m:func>
                    <m:func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IN" sz="1100" i="0">
                          <a:latin typeface="Cambria Math" panose="02040503050406030204" pitchFamily="18" charset="0"/>
                        </a:rPr>
                        <m:t>cot</m:t>
                      </m:r>
                    </m:fName>
                    <m:e>
                      <m:r>
                        <a:rPr lang="en-IN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e>
                  </m:func>
                </m:oMath>
              </a14:m>
              <a:endParaRPr lang="LID4096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95F5AF7-77DF-42F7-A864-BE2C85D48841}"/>
                </a:ext>
              </a:extLst>
            </xdr:cNvPr>
            <xdr:cNvSpPr txBox="1"/>
          </xdr:nvSpPr>
          <xdr:spPr>
            <a:xfrm>
              <a:off x="591397" y="8589324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𝑅−</a:t>
              </a:r>
              <a:r>
                <a:rPr lang="en-IN" sz="1100" i="0">
                  <a:latin typeface="Cambria Math" panose="02040503050406030204" pitchFamily="18" charset="0"/>
                </a:rPr>
                <a:t>(</a:t>
              </a:r>
              <a:r>
                <a:rPr lang="de-DE" sz="1100" b="0" i="0">
                  <a:latin typeface="Cambria Math" panose="02040503050406030204" pitchFamily="18" charset="0"/>
                </a:rPr>
                <a:t>〖(𝑎〗_(1^ ) 𝐹_(𝑧^1 ))−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〖(𝑎〗_(2^ ) 𝐹_(𝑧^2 ))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de-DE" sz="1100" b="0" i="0">
                  <a:latin typeface="Cambria Math" panose="02040503050406030204" pitchFamily="18" charset="0"/>
                </a:rPr>
                <a:t>0.5 𝑚 𝑔</a:t>
              </a:r>
              <a:r>
                <a:rPr lang="en-IN" sz="1100" b="0" i="0">
                  <a:latin typeface="Cambria Math" panose="02040503050406030204" pitchFamily="18" charset="0"/>
                </a:rPr>
                <a:t>) </a:t>
              </a:r>
              <a:r>
                <a:rPr lang="en-IN" sz="1100" i="0">
                  <a:latin typeface="Cambria Math" panose="02040503050406030204" pitchFamily="18" charset="0"/>
                </a:rPr>
                <a:t> cot⁡</a:t>
              </a:r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5</xdr:col>
      <xdr:colOff>351942</xdr:colOff>
      <xdr:row>45</xdr:row>
      <xdr:rowOff>101086</xdr:rowOff>
    </xdr:from>
    <xdr:ext cx="1911716" cy="3861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EF2DB18-8B49-4B23-A6EA-57AB1A419942}"/>
                </a:ext>
              </a:extLst>
            </xdr:cNvPr>
            <xdr:cNvSpPr txBox="1"/>
          </xdr:nvSpPr>
          <xdr:spPr>
            <a:xfrm>
              <a:off x="4109025" y="8596246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14:m>
                <m:oMath xmlns:m="http://schemas.openxmlformats.org/officeDocument/2006/math">
                  <m:r>
                    <a:rPr lang="en-IN" sz="1100" i="1">
                      <a:latin typeface="Cambria Math" panose="02040503050406030204" pitchFamily="18" charset="0"/>
                    </a:rPr>
                    <m:t>=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de-DE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de-DE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e-DE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sSup>
                            <m:sSupPr>
                              <m:ctrlPr>
                                <a:rPr lang="de-DE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de-DE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e>
                            <m:sup/>
                          </m:sSup>
                        </m:sub>
                      </m:sSub>
                      <m:r>
                        <a:rPr lang="de-DE" sz="1100" b="0" i="1">
                          <a:latin typeface="Cambria Math" panose="02040503050406030204" pitchFamily="18" charset="0"/>
                        </a:rPr>
                        <m:t>− </m:t>
                      </m:r>
                      <m:f>
                        <m:fPr>
                          <m:ctrlPr>
                            <a:rPr lang="en-IN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2  </m:t>
                          </m:r>
                          <m:sSub>
                            <m:sSubPr>
                              <m:ctrlP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de-DE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𝐹</m:t>
                              </m:r>
                            </m:e>
                            <m:sub>
                              <m:sSup>
                                <m:sSupPr>
                                  <m:ctrlP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𝑧</m:t>
                                  </m:r>
                                </m:e>
                                <m:sup>
                                  <m:r>
                                    <a:rPr lang="de-DE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1</m:t>
                                  </m:r>
                                </m:sup>
                              </m:sSup>
                            </m:sub>
                          </m:sSub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𝑙</m:t>
                          </m:r>
                        </m:num>
                        <m:den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𝑚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a:rPr lang="de-DE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𝑔</m:t>
                          </m:r>
                        </m:den>
                      </m:f>
                    </m:e>
                  </m:d>
                  <m:func>
                    <m:funcPr>
                      <m:ctrlPr>
                        <a:rPr lang="en-IN" sz="110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IN" sz="1100" i="0">
                          <a:latin typeface="Cambria Math" panose="02040503050406030204" pitchFamily="18" charset="0"/>
                        </a:rPr>
                        <m:t>cot</m:t>
                      </m:r>
                    </m:fName>
                    <m:e>
                      <m:r>
                        <a:rPr lang="en-IN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e>
                  </m:func>
                </m:oMath>
              </a14:m>
              <a:endParaRPr lang="LID4096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EF2DB18-8B49-4B23-A6EA-57AB1A419942}"/>
                </a:ext>
              </a:extLst>
            </xdr:cNvPr>
            <xdr:cNvSpPr txBox="1"/>
          </xdr:nvSpPr>
          <xdr:spPr>
            <a:xfrm>
              <a:off x="4109025" y="8596246"/>
              <a:ext cx="1911716" cy="386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1100" baseline="0"/>
                <a:t>H </a:t>
              </a:r>
              <a:r>
                <a:rPr lang="en-IN" sz="1100" i="0">
                  <a:latin typeface="Cambria Math" panose="02040503050406030204" pitchFamily="18" charset="0"/>
                </a:rPr>
                <a:t>=</a:t>
              </a:r>
              <a:r>
                <a:rPr lang="de-DE" sz="1100" b="0" i="0">
                  <a:latin typeface="Cambria Math" panose="02040503050406030204" pitchFamily="18" charset="0"/>
                </a:rPr>
                <a:t>𝑅+[𝑎_(2^ )− 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𝐹_(𝑧^1 )  𝑙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𝑚 𝑔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100" i="0">
                  <a:latin typeface="Cambria Math" panose="02040503050406030204" pitchFamily="18" charset="0"/>
                </a:rPr>
                <a:t> cot⁡</a:t>
              </a:r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LID4096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206375</xdr:colOff>
      <xdr:row>5</xdr:row>
      <xdr:rowOff>3175</xdr:rowOff>
    </xdr:from>
    <xdr:ext cx="2358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3EF1CA7-9841-A51F-8065-09813BA8C278}"/>
                </a:ext>
              </a:extLst>
            </xdr:cNvPr>
            <xdr:cNvSpPr txBox="1"/>
          </xdr:nvSpPr>
          <xdr:spPr>
            <a:xfrm>
              <a:off x="3863975" y="517525"/>
              <a:ext cx="2358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3EF1CA7-9841-A51F-8065-09813BA8C278}"/>
                </a:ext>
              </a:extLst>
            </xdr:cNvPr>
            <xdr:cNvSpPr txBox="1"/>
          </xdr:nvSpPr>
          <xdr:spPr>
            <a:xfrm>
              <a:off x="3863975" y="517525"/>
              <a:ext cx="2358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𝐹_(𝐴^𝑧 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6</xdr:col>
      <xdr:colOff>206375</xdr:colOff>
      <xdr:row>5</xdr:row>
      <xdr:rowOff>180975</xdr:rowOff>
    </xdr:from>
    <xdr:ext cx="248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CFF0FC9-25D0-44E6-94BD-C529CBA75E1F}"/>
                </a:ext>
              </a:extLst>
            </xdr:cNvPr>
            <xdr:cNvSpPr txBox="1"/>
          </xdr:nvSpPr>
          <xdr:spPr>
            <a:xfrm>
              <a:off x="3863975" y="695325"/>
              <a:ext cx="248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CFF0FC9-25D0-44E6-94BD-C529CBA75E1F}"/>
                </a:ext>
              </a:extLst>
            </xdr:cNvPr>
            <xdr:cNvSpPr txBox="1"/>
          </xdr:nvSpPr>
          <xdr:spPr>
            <a:xfrm>
              <a:off x="3863975" y="695325"/>
              <a:ext cx="248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𝐹_(𝐵^𝑧 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6</xdr:col>
      <xdr:colOff>200025</xdr:colOff>
      <xdr:row>6</xdr:row>
      <xdr:rowOff>168275</xdr:rowOff>
    </xdr:from>
    <xdr:ext cx="2458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065D85-8DEC-4C60-A351-10829A1CAEB2}"/>
                </a:ext>
              </a:extLst>
            </xdr:cNvPr>
            <xdr:cNvSpPr txBox="1"/>
          </xdr:nvSpPr>
          <xdr:spPr>
            <a:xfrm>
              <a:off x="3857625" y="866775"/>
              <a:ext cx="2458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065D85-8DEC-4C60-A351-10829A1CAEB2}"/>
                </a:ext>
              </a:extLst>
            </xdr:cNvPr>
            <xdr:cNvSpPr txBox="1"/>
          </xdr:nvSpPr>
          <xdr:spPr>
            <a:xfrm>
              <a:off x="3857625" y="866775"/>
              <a:ext cx="2458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𝐹_(𝐶^𝑧 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6</xdr:col>
      <xdr:colOff>206375</xdr:colOff>
      <xdr:row>7</xdr:row>
      <xdr:rowOff>180975</xdr:rowOff>
    </xdr:from>
    <xdr:ext cx="25186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38B55E-6B70-4AFB-B8E7-5DE0691FB7B5}"/>
                </a:ext>
              </a:extLst>
            </xdr:cNvPr>
            <xdr:cNvSpPr txBox="1"/>
          </xdr:nvSpPr>
          <xdr:spPr>
            <a:xfrm>
              <a:off x="3863975" y="1063625"/>
              <a:ext cx="2518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p>
                          <m:sSupPr>
                            <m:ctrlPr>
                              <a:rPr lang="de-DE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sup>
                        </m:sSup>
                      </m:sub>
                    </m:sSub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38B55E-6B70-4AFB-B8E7-5DE0691FB7B5}"/>
                </a:ext>
              </a:extLst>
            </xdr:cNvPr>
            <xdr:cNvSpPr txBox="1"/>
          </xdr:nvSpPr>
          <xdr:spPr>
            <a:xfrm>
              <a:off x="3863975" y="1063625"/>
              <a:ext cx="25186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𝐹_(𝐷^𝑧 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5</xdr:col>
      <xdr:colOff>231775</xdr:colOff>
      <xdr:row>6</xdr:row>
      <xdr:rowOff>53975</xdr:rowOff>
    </xdr:from>
    <xdr:ext cx="1326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C723C82-9BAE-F8EF-E8A9-EA7591F2AE84}"/>
                </a:ext>
              </a:extLst>
            </xdr:cNvPr>
            <xdr:cNvSpPr txBox="1"/>
          </xdr:nvSpPr>
          <xdr:spPr>
            <a:xfrm>
              <a:off x="3279775" y="752475"/>
              <a:ext cx="1326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C723C82-9BAE-F8EF-E8A9-EA7591F2AE84}"/>
                </a:ext>
              </a:extLst>
            </xdr:cNvPr>
            <xdr:cNvSpPr txBox="1"/>
          </xdr:nvSpPr>
          <xdr:spPr>
            <a:xfrm>
              <a:off x="3279775" y="752475"/>
              <a:ext cx="1326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5</xdr:col>
      <xdr:colOff>305246</xdr:colOff>
      <xdr:row>28</xdr:row>
      <xdr:rowOff>38231</xdr:rowOff>
    </xdr:from>
    <xdr:ext cx="1326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E2AD05-81B1-4615-86A2-1D83CC0DEF03}"/>
                </a:ext>
              </a:extLst>
            </xdr:cNvPr>
            <xdr:cNvSpPr txBox="1"/>
          </xdr:nvSpPr>
          <xdr:spPr>
            <a:xfrm>
              <a:off x="3936816" y="5328148"/>
              <a:ext cx="1326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E2AD05-81B1-4615-86A2-1D83CC0DEF03}"/>
                </a:ext>
              </a:extLst>
            </xdr:cNvPr>
            <xdr:cNvSpPr txBox="1"/>
          </xdr:nvSpPr>
          <xdr:spPr>
            <a:xfrm>
              <a:off x="3936816" y="5328148"/>
              <a:ext cx="1326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endParaRPr lang="de-DE" sz="1100"/>
            </a:p>
          </xdr:txBody>
        </xdr:sp>
      </mc:Fallback>
    </mc:AlternateContent>
    <xdr:clientData/>
  </xdr:oneCellAnchor>
  <xdr:twoCellAnchor editAs="oneCell">
    <xdr:from>
      <xdr:col>9</xdr:col>
      <xdr:colOff>1543573</xdr:colOff>
      <xdr:row>18</xdr:row>
      <xdr:rowOff>55785</xdr:rowOff>
    </xdr:from>
    <xdr:to>
      <xdr:col>13</xdr:col>
      <xdr:colOff>578820</xdr:colOff>
      <xdr:row>32</xdr:row>
      <xdr:rowOff>100235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CF2619-C836-8580-44C1-268D2D6E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565" y="3508925"/>
          <a:ext cx="4078512" cy="2615938"/>
        </a:xfrm>
        <a:prstGeom prst="rect">
          <a:avLst/>
        </a:prstGeom>
      </xdr:spPr>
    </xdr:pic>
    <xdr:clientData/>
  </xdr:twoCellAnchor>
  <xdr:oneCellAnchor>
    <xdr:from>
      <xdr:col>8</xdr:col>
      <xdr:colOff>1035181</xdr:colOff>
      <xdr:row>5</xdr:row>
      <xdr:rowOff>9209</xdr:rowOff>
    </xdr:from>
    <xdr:ext cx="417101" cy="1694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B79FDA6-012A-2B93-5F69-E9D6D44DAB32}"/>
                </a:ext>
              </a:extLst>
            </xdr:cNvPr>
            <xdr:cNvSpPr txBox="1"/>
          </xdr:nvSpPr>
          <xdr:spPr>
            <a:xfrm>
              <a:off x="8748988" y="1091595"/>
              <a:ext cx="417101" cy="169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/>
                        </m:sSup>
                      </m:sub>
                    </m:sSub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/>
                        </m:sSup>
                      </m:sub>
                    </m:sSub>
                  </m:oMath>
                </m:oMathPara>
              </a14:m>
              <a:endParaRPr lang="de-DE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B79FDA6-012A-2B93-5F69-E9D6D44DAB32}"/>
                </a:ext>
              </a:extLst>
            </xdr:cNvPr>
            <xdr:cNvSpPr txBox="1"/>
          </xdr:nvSpPr>
          <xdr:spPr>
            <a:xfrm>
              <a:off x="8748988" y="1091595"/>
              <a:ext cx="417101" cy="169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000" b="0" i="0">
                  <a:latin typeface="Cambria Math" panose="02040503050406030204" pitchFamily="18" charset="0"/>
                </a:rPr>
                <a:t>𝐼_(1^ ) </a:t>
              </a:r>
              <a:r>
                <a:rPr lang="de-DE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𝛼_(</a:t>
              </a:r>
              <a:r>
                <a:rPr lang="de-DE" sz="1000" b="0" i="0">
                  <a:latin typeface="Cambria Math" panose="02040503050406030204" pitchFamily="18" charset="0"/>
                </a:rPr>
                <a:t>𝑥^ )</a:t>
              </a:r>
              <a:endParaRPr lang="de-DE" sz="1000"/>
            </a:p>
          </xdr:txBody>
        </xdr:sp>
      </mc:Fallback>
    </mc:AlternateContent>
    <xdr:clientData/>
  </xdr:oneCellAnchor>
  <xdr:oneCellAnchor>
    <xdr:from>
      <xdr:col>8</xdr:col>
      <xdr:colOff>1045887</xdr:colOff>
      <xdr:row>6</xdr:row>
      <xdr:rowOff>9420</xdr:rowOff>
    </xdr:from>
    <xdr:ext cx="431528" cy="1866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ACFA39-F411-43D4-8E28-F3A6F46F1812}"/>
                </a:ext>
              </a:extLst>
            </xdr:cNvPr>
            <xdr:cNvSpPr txBox="1"/>
          </xdr:nvSpPr>
          <xdr:spPr>
            <a:xfrm>
              <a:off x="8759694" y="1279420"/>
              <a:ext cx="431528" cy="186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/>
                        </m:sSup>
                      </m:sub>
                    </m:sSub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p/>
                        </m:sSup>
                      </m:sub>
                    </m:sSub>
                  </m:oMath>
                </m:oMathPara>
              </a14:m>
              <a:endParaRPr lang="de-DE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ACFA39-F411-43D4-8E28-F3A6F46F1812}"/>
                </a:ext>
              </a:extLst>
            </xdr:cNvPr>
            <xdr:cNvSpPr txBox="1"/>
          </xdr:nvSpPr>
          <xdr:spPr>
            <a:xfrm>
              <a:off x="8759694" y="1279420"/>
              <a:ext cx="431528" cy="186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000" b="0" i="0">
                  <a:latin typeface="Cambria Math" panose="02040503050406030204" pitchFamily="18" charset="0"/>
                </a:rPr>
                <a:t>𝐼_(2^ ) </a:t>
              </a:r>
              <a:r>
                <a:rPr lang="de-DE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𝛼_(</a:t>
              </a:r>
              <a:r>
                <a:rPr lang="de-DE" sz="1000" b="0" i="0">
                  <a:latin typeface="Cambria Math" panose="02040503050406030204" pitchFamily="18" charset="0"/>
                </a:rPr>
                <a:t>𝑦^ )</a:t>
              </a:r>
              <a:endParaRPr lang="de-DE" sz="1000"/>
            </a:p>
          </xdr:txBody>
        </xdr:sp>
      </mc:Fallback>
    </mc:AlternateContent>
    <xdr:clientData/>
  </xdr:oneCellAnchor>
  <xdr:oneCellAnchor>
    <xdr:from>
      <xdr:col>8</xdr:col>
      <xdr:colOff>1051345</xdr:colOff>
      <xdr:row>6</xdr:row>
      <xdr:rowOff>182812</xdr:rowOff>
    </xdr:from>
    <xdr:ext cx="423129" cy="169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7369F7-0E9B-4837-B037-13C952266EA1}"/>
                </a:ext>
              </a:extLst>
            </xdr:cNvPr>
            <xdr:cNvSpPr txBox="1"/>
          </xdr:nvSpPr>
          <xdr:spPr>
            <a:xfrm>
              <a:off x="8765152" y="1452812"/>
              <a:ext cx="423129" cy="169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sup/>
                        </m:sSup>
                      </m:sub>
                    </m:sSub>
                    <m:sSub>
                      <m:sSubPr>
                        <m:ctrlPr>
                          <a:rPr lang="de-DE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sSup>
                          <m:sSupPr>
                            <m:ctrlPr>
                              <a:rPr lang="de-DE" sz="1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e-DE" sz="10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e>
                          <m:sup/>
                        </m:sSup>
                      </m:sub>
                    </m:sSub>
                  </m:oMath>
                </m:oMathPara>
              </a14:m>
              <a:endParaRPr lang="de-DE" sz="1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7369F7-0E9B-4837-B037-13C952266EA1}"/>
                </a:ext>
              </a:extLst>
            </xdr:cNvPr>
            <xdr:cNvSpPr txBox="1"/>
          </xdr:nvSpPr>
          <xdr:spPr>
            <a:xfrm>
              <a:off x="8765152" y="1452812"/>
              <a:ext cx="423129" cy="169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000" b="0" i="0">
                  <a:latin typeface="Cambria Math" panose="02040503050406030204" pitchFamily="18" charset="0"/>
                </a:rPr>
                <a:t>𝐼_(3^ ) </a:t>
              </a:r>
              <a:r>
                <a:rPr lang="de-DE" sz="1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𝛼_(</a:t>
              </a:r>
              <a:r>
                <a:rPr lang="de-DE" sz="1000" b="0" i="0">
                  <a:latin typeface="Cambria Math" panose="02040503050406030204" pitchFamily="18" charset="0"/>
                </a:rPr>
                <a:t>𝑧^ )</a:t>
              </a:r>
              <a:endParaRPr lang="de-DE" sz="1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4"/>
  <sheetViews>
    <sheetView topLeftCell="A26" zoomScale="143" workbookViewId="0">
      <selection activeCell="F53" sqref="F53"/>
    </sheetView>
  </sheetViews>
  <sheetFormatPr defaultRowHeight="14.45"/>
  <cols>
    <col min="2" max="2" width="18.85546875" customWidth="1"/>
  </cols>
  <sheetData>
    <row r="2" spans="1:5" ht="26.1">
      <c r="A2" s="1" t="s">
        <v>0</v>
      </c>
    </row>
    <row r="5" spans="1:5">
      <c r="E5" t="s">
        <v>1</v>
      </c>
    </row>
    <row r="19" spans="1:6">
      <c r="B19" t="s">
        <v>2</v>
      </c>
    </row>
    <row r="21" spans="1:6">
      <c r="A21" t="s">
        <v>3</v>
      </c>
      <c r="C21">
        <v>300.5</v>
      </c>
    </row>
    <row r="22" spans="1:6">
      <c r="A22" t="s">
        <v>4</v>
      </c>
      <c r="C22">
        <v>0.46800000000000003</v>
      </c>
    </row>
    <row r="23" spans="1:6">
      <c r="A23" t="s">
        <v>5</v>
      </c>
      <c r="C23">
        <v>2.5</v>
      </c>
    </row>
    <row r="25" spans="1:6">
      <c r="B25" t="s">
        <v>6</v>
      </c>
    </row>
    <row r="27" spans="1:6">
      <c r="B27" t="s">
        <v>7</v>
      </c>
      <c r="E27">
        <v>77.5</v>
      </c>
      <c r="F27" t="s">
        <v>8</v>
      </c>
    </row>
    <row r="28" spans="1:6">
      <c r="B28" t="s">
        <v>9</v>
      </c>
      <c r="E28">
        <v>73</v>
      </c>
      <c r="F28" t="s">
        <v>8</v>
      </c>
    </row>
    <row r="30" spans="1:6">
      <c r="B30" t="s">
        <v>10</v>
      </c>
      <c r="E30">
        <f>E27*2*9.8</f>
        <v>1519</v>
      </c>
    </row>
    <row r="31" spans="1:6">
      <c r="B31" t="s">
        <v>11</v>
      </c>
      <c r="E31">
        <f>E28*9.8*2</f>
        <v>1430.8000000000002</v>
      </c>
    </row>
    <row r="33" spans="1:5" ht="18.600000000000001">
      <c r="A33" s="2" t="s">
        <v>12</v>
      </c>
    </row>
    <row r="34" spans="1:5">
      <c r="E34">
        <v>72</v>
      </c>
    </row>
    <row r="36" spans="1:5">
      <c r="C36" t="s">
        <v>13</v>
      </c>
    </row>
    <row r="39" spans="1:5" ht="15" thickBot="1"/>
    <row r="40" spans="1:5">
      <c r="B40" t="s">
        <v>14</v>
      </c>
      <c r="E40" s="3">
        <f>C23*E31/(C21*9.8)</f>
        <v>1.2146422628951747</v>
      </c>
    </row>
    <row r="41" spans="1:5" ht="15" thickBot="1">
      <c r="B41" t="s">
        <v>15</v>
      </c>
      <c r="E41" s="4">
        <f>C23*E30/(C21*9.8)</f>
        <v>1.2895174708818635</v>
      </c>
    </row>
    <row r="44" spans="1:5" ht="18.600000000000001">
      <c r="A44" s="2" t="s">
        <v>16</v>
      </c>
    </row>
    <row r="47" spans="1:5">
      <c r="E47" t="s">
        <v>17</v>
      </c>
    </row>
    <row r="50" spans="2:7">
      <c r="B50" t="s">
        <v>18</v>
      </c>
      <c r="F50">
        <v>0.18</v>
      </c>
      <c r="G50" t="s">
        <v>19</v>
      </c>
    </row>
    <row r="51" spans="2:7">
      <c r="B51" t="s">
        <v>20</v>
      </c>
      <c r="F51">
        <f>ASIN(F50/C23)</f>
        <v>7.2062353568203494E-2</v>
      </c>
    </row>
    <row r="52" spans="2:7" ht="15" thickBot="1"/>
    <row r="53" spans="2:7">
      <c r="B53" t="s">
        <v>21</v>
      </c>
      <c r="F53" s="3">
        <f>C22-(((E40*E30)-(E41*E31))*_xlfn.COT(F51))/(0.5*C21*9.8)</f>
        <v>0.46800000000000219</v>
      </c>
      <c r="G53" t="s">
        <v>22</v>
      </c>
    </row>
    <row r="54" spans="2:7" ht="15" thickBot="1">
      <c r="B54" t="s">
        <v>21</v>
      </c>
      <c r="F54" s="4">
        <f>C22+(((E41-((E30*C23)/(C21*9.8)))*_xlfn.COT(F51)))</f>
        <v>0.46800000000000003</v>
      </c>
      <c r="G54" t="s">
        <v>23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7EAC-51BE-48DE-BD3D-002E7C638162}">
  <dimension ref="A1:J39"/>
  <sheetViews>
    <sheetView tabSelected="1" topLeftCell="A12" zoomScale="124" workbookViewId="0">
      <selection activeCell="B31" sqref="B31:E31"/>
    </sheetView>
  </sheetViews>
  <sheetFormatPr defaultRowHeight="14.45"/>
  <cols>
    <col min="2" max="3" width="10.85546875" bestFit="1" customWidth="1"/>
    <col min="4" max="4" width="24.28515625" bestFit="1" customWidth="1"/>
    <col min="5" max="5" width="10.85546875" bestFit="1" customWidth="1"/>
    <col min="6" max="6" width="10.7109375" customWidth="1"/>
    <col min="7" max="7" width="25.42578125" customWidth="1"/>
    <col min="9" max="9" width="33.5703125" customWidth="1"/>
    <col min="10" max="10" width="46.140625" customWidth="1"/>
  </cols>
  <sheetData>
    <row r="1" spans="1:9" ht="26.1">
      <c r="A1" s="1" t="s">
        <v>24</v>
      </c>
    </row>
    <row r="6" spans="1:9">
      <c r="B6" s="6" t="s">
        <v>25</v>
      </c>
      <c r="C6" s="32" t="s">
        <v>26</v>
      </c>
      <c r="D6" s="32" t="s">
        <v>25</v>
      </c>
      <c r="E6" s="7" t="s">
        <v>25</v>
      </c>
      <c r="G6" s="12"/>
      <c r="I6" s="15"/>
    </row>
    <row r="7" spans="1:9">
      <c r="B7" s="8" t="s">
        <v>27</v>
      </c>
      <c r="C7" s="5" t="s">
        <v>28</v>
      </c>
      <c r="D7" s="5" t="s">
        <v>27</v>
      </c>
      <c r="E7" s="9" t="s">
        <v>29</v>
      </c>
      <c r="F7" s="5"/>
      <c r="G7" s="13"/>
      <c r="H7" s="5" t="s">
        <v>30</v>
      </c>
      <c r="I7" s="16"/>
    </row>
    <row r="8" spans="1:9">
      <c r="B8" s="10" t="s">
        <v>31</v>
      </c>
      <c r="C8" s="10" t="s">
        <v>32</v>
      </c>
      <c r="D8" s="10" t="s">
        <v>31</v>
      </c>
      <c r="E8" s="33" t="s">
        <v>31</v>
      </c>
      <c r="G8" s="13"/>
      <c r="I8" s="16"/>
    </row>
    <row r="9" spans="1:9">
      <c r="B9" s="11">
        <v>1</v>
      </c>
      <c r="C9" s="11">
        <v>1</v>
      </c>
      <c r="D9" s="11">
        <v>1</v>
      </c>
      <c r="E9" s="17">
        <v>1</v>
      </c>
      <c r="G9" s="14"/>
      <c r="I9" s="17" t="s">
        <v>33</v>
      </c>
    </row>
    <row r="12" spans="1:9">
      <c r="B12" t="s">
        <v>2</v>
      </c>
    </row>
    <row r="14" spans="1:9">
      <c r="B14" t="s">
        <v>14</v>
      </c>
      <c r="F14" s="5" t="s">
        <v>30</v>
      </c>
      <c r="G14" s="31">
        <v>1.2889999999999999</v>
      </c>
    </row>
    <row r="15" spans="1:9">
      <c r="B15" t="s">
        <v>15</v>
      </c>
      <c r="F15" s="5" t="s">
        <v>30</v>
      </c>
      <c r="G15" s="31">
        <v>1.214</v>
      </c>
    </row>
    <row r="16" spans="1:9">
      <c r="B16" t="s">
        <v>34</v>
      </c>
      <c r="G16" s="31">
        <v>1.25</v>
      </c>
    </row>
    <row r="17" spans="2:9">
      <c r="B17" t="s">
        <v>35</v>
      </c>
      <c r="G17" s="31">
        <v>1.25</v>
      </c>
    </row>
    <row r="18" spans="2:9">
      <c r="B18" t="s">
        <v>36</v>
      </c>
      <c r="F18" s="5" t="s">
        <v>30</v>
      </c>
      <c r="G18" s="31">
        <v>0.46800000000000003</v>
      </c>
    </row>
    <row r="19" spans="2:9">
      <c r="B19" t="s">
        <v>37</v>
      </c>
      <c r="F19" s="5" t="s">
        <v>30</v>
      </c>
      <c r="G19" s="30">
        <v>300.5</v>
      </c>
      <c r="H19" t="s">
        <v>38</v>
      </c>
    </row>
    <row r="20" spans="2:9">
      <c r="B20" t="s">
        <v>39</v>
      </c>
      <c r="F20" s="5" t="s">
        <v>30</v>
      </c>
      <c r="G20" s="29">
        <v>1</v>
      </c>
    </row>
    <row r="21" spans="2:9">
      <c r="B21" t="s">
        <v>40</v>
      </c>
      <c r="F21" s="5" t="s">
        <v>30</v>
      </c>
      <c r="G21" s="30">
        <v>9.8000000000000007</v>
      </c>
    </row>
    <row r="22" spans="2:9">
      <c r="B22" t="s">
        <v>41</v>
      </c>
      <c r="G22" s="30">
        <f>$G$17/$G$18</f>
        <v>2.6709401709401708</v>
      </c>
    </row>
    <row r="23" spans="2:9">
      <c r="G23" s="30"/>
    </row>
    <row r="24" spans="2:9">
      <c r="B24" t="s">
        <v>42</v>
      </c>
      <c r="F24" s="5" t="s">
        <v>30</v>
      </c>
      <c r="G24" s="29">
        <v>5</v>
      </c>
    </row>
    <row r="25" spans="2:9">
      <c r="B25" t="s">
        <v>43</v>
      </c>
      <c r="F25" s="5" t="s">
        <v>30</v>
      </c>
      <c r="G25" s="29">
        <v>5</v>
      </c>
    </row>
    <row r="28" spans="2:9">
      <c r="B28" s="22">
        <f>(G17-G18)*G20</f>
        <v>0.78200000000000003</v>
      </c>
      <c r="C28" s="22">
        <f>(G16-G18)*G20</f>
        <v>0.78200000000000003</v>
      </c>
      <c r="D28" s="22">
        <f>(G17-G18)*G20</f>
        <v>0.78200000000000003</v>
      </c>
      <c r="E28" s="22">
        <f>(G17-G18)*G20</f>
        <v>0.78200000000000003</v>
      </c>
      <c r="G28" s="18" t="s">
        <v>44</v>
      </c>
      <c r="I28" s="15">
        <v>15</v>
      </c>
    </row>
    <row r="29" spans="2:9">
      <c r="B29" s="22">
        <f>(G18-G15)*G22</f>
        <v>-1.9925213675213673</v>
      </c>
      <c r="C29" s="22">
        <f>(G18-G14)*G22</f>
        <v>-2.1928418803418799</v>
      </c>
      <c r="D29" s="22">
        <f>(G18-G15)*G22</f>
        <v>-1.9925213675213673</v>
      </c>
      <c r="E29" s="22">
        <f>(G18-G17)*G22</f>
        <v>-2.0886752136752138</v>
      </c>
      <c r="F29" s="5"/>
      <c r="G29" s="19" t="s">
        <v>45</v>
      </c>
      <c r="H29" s="5" t="s">
        <v>30</v>
      </c>
      <c r="I29" s="16">
        <v>15</v>
      </c>
    </row>
    <row r="30" spans="2:9">
      <c r="B30" s="23">
        <f>G15-G18</f>
        <v>0.746</v>
      </c>
      <c r="C30" s="24">
        <f>G14-G16</f>
        <v>3.8999999999999924E-2</v>
      </c>
      <c r="D30" s="24">
        <f>G15-G17</f>
        <v>-3.6000000000000032E-2</v>
      </c>
      <c r="E30" s="25">
        <f>G15-G17</f>
        <v>-3.6000000000000032E-2</v>
      </c>
      <c r="G30" s="19" t="s">
        <v>46</v>
      </c>
      <c r="I30" s="16">
        <v>15</v>
      </c>
    </row>
    <row r="31" spans="2:9">
      <c r="B31" s="26">
        <v>1</v>
      </c>
      <c r="C31" s="27">
        <v>1</v>
      </c>
      <c r="D31" s="27">
        <v>1</v>
      </c>
      <c r="E31" s="28">
        <v>1</v>
      </c>
      <c r="G31" s="20" t="s">
        <v>47</v>
      </c>
      <c r="I31" s="17">
        <f>G19*G21</f>
        <v>2944.9</v>
      </c>
    </row>
    <row r="34" spans="2:10">
      <c r="B34" t="s">
        <v>48</v>
      </c>
    </row>
    <row r="36" spans="2:10">
      <c r="B36" t="s">
        <v>49</v>
      </c>
      <c r="D36" s="21" cm="1">
        <f t="array" ref="D36:G39">MINVERSE(B28:E31)</f>
        <v>-6634458786100790</v>
      </c>
      <c r="E36" s="21">
        <v>0.11048593350383609</v>
      </c>
      <c r="F36" s="21">
        <v>1.2787723785166241</v>
      </c>
      <c r="G36" s="21">
        <v>5188146770730838</v>
      </c>
      <c r="I36" s="21"/>
      <c r="J36" s="21"/>
    </row>
    <row r="37" spans="2:10">
      <c r="B37" t="s">
        <v>50</v>
      </c>
      <c r="D37" s="21">
        <v>6.91752902764112E+16</v>
      </c>
      <c r="E37" s="21">
        <v>-1.1519999999999824</v>
      </c>
      <c r="F37" s="21">
        <v>0</v>
      </c>
      <c r="G37" s="21">
        <v>-5.409507699615356E+16</v>
      </c>
      <c r="I37" s="21"/>
      <c r="J37" s="21"/>
    </row>
    <row r="38" spans="2:10">
      <c r="B38" t="s">
        <v>51</v>
      </c>
      <c r="D38" s="21">
        <v>8.1574356585545472E+16</v>
      </c>
      <c r="E38" s="21">
        <v>9.0415140664961466</v>
      </c>
      <c r="F38" s="21">
        <v>-1.2787723785166241</v>
      </c>
      <c r="G38" s="21">
        <v>-6.3791146849896528E+16</v>
      </c>
      <c r="I38" s="21"/>
      <c r="J38" s="21"/>
    </row>
    <row r="39" spans="2:10">
      <c r="B39" t="s">
        <v>52</v>
      </c>
      <c r="D39" s="21">
        <v>-1.4411518807585587E+17</v>
      </c>
      <c r="E39" s="21">
        <v>-8</v>
      </c>
      <c r="F39" s="21">
        <v>0</v>
      </c>
      <c r="G39" s="21">
        <v>1.1269807707531926E+17</v>
      </c>
      <c r="I39" s="21"/>
      <c r="J39" s="21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Ragunandhan Venkatesh</dc:creator>
  <cp:keywords/>
  <dc:description/>
  <cp:lastModifiedBy>Guest User</cp:lastModifiedBy>
  <cp:revision/>
  <dcterms:created xsi:type="dcterms:W3CDTF">2023-10-24T08:31:10Z</dcterms:created>
  <dcterms:modified xsi:type="dcterms:W3CDTF">2026-04-03T15:48:58Z</dcterms:modified>
  <cp:category/>
  <cp:contentStatus/>
</cp:coreProperties>
</file>